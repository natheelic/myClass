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Data" sheetId="1" r:id="rId1"/>
    <sheet name="SalesTransaction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<sst xmlns="http://schemas.openxmlformats.org/spreadsheetml/2006/main" count="87" uniqueCount="42">
  <si>
    <t>รหัสสินค้า (Product_ID)</t>
  </si>
  <si>
    <t>ชื่อสินค้า (Product_Name)</t>
  </si>
  <si>
    <t>หมวดหมู่ (Category)</t>
  </si>
  <si>
    <t>ราคาต่อหน่วย (Price)</t>
  </si>
  <si>
    <t>P001</t>
  </si>
  <si>
    <t>Mouse Wireless</t>
  </si>
  <si>
    <t>Accessories</t>
  </si>
  <si>
    <t>P002</t>
  </si>
  <si>
    <t>Mechanical Keyboard</t>
  </si>
  <si>
    <t>P003</t>
  </si>
  <si>
    <t>Monitor 24"</t>
  </si>
  <si>
    <t>Hardware</t>
  </si>
  <si>
    <t>P004</t>
  </si>
  <si>
    <t>SSD 1TB</t>
  </si>
  <si>
    <t>P005</t>
  </si>
  <si>
    <t>USB Hub Type-C</t>
  </si>
  <si>
    <t>รหัสสมาชิก (Member_ID)</t>
  </si>
  <si>
    <t>ชื่อ-นามสกุล (Member_Name)</t>
  </si>
  <si>
    <t>ประเภทสมาชิก (Tier)</t>
  </si>
  <si>
    <t>M001</t>
  </si>
  <si>
    <t>สมชาย ใจดี</t>
  </si>
  <si>
    <t>VIP</t>
  </si>
  <si>
    <t>M002</t>
  </si>
  <si>
    <t>สมหญิง รักเรียน</t>
  </si>
  <si>
    <t>Regular</t>
  </si>
  <si>
    <t>M003</t>
  </si>
  <si>
    <t>มานะ พากเพียร</t>
  </si>
  <si>
    <t>M004</t>
  </si>
  <si>
    <t>ปิติ รักสงบ</t>
  </si>
  <si>
    <t>ลำดับ (No.)</t>
  </si>
  <si>
    <t>วันที่ (Date)</t>
  </si>
  <si>
    <t>ชื่อลูกค้า (Customer_Name)</t>
  </si>
  <si>
    <t>ราคาต่อหน่วย (Unit_Price)</t>
  </si>
  <si>
    <t>จำนวน (Quantity)</t>
  </si>
  <si>
    <t>รวมเป็นเงิน (Total)</t>
  </si>
  <si>
    <t>ส่วนลด (Discount)</t>
  </si>
  <si>
    <t>ยอดสุทธิ (Net_Total)</t>
  </si>
  <si>
    <t>สรุปข้อมูลระดับบริหาร</t>
  </si>
  <si>
    <t>ยอดสุทธิรวมตามหมวดหมู่</t>
  </si>
  <si>
    <t>จำนวนการใช้บริการแยกระดับสมาชิก</t>
  </si>
  <si>
    <t>จำนวนครั้ง</t>
  </si>
  <si>
    <t>หมายเหตุ: การสร้าง PivotTable และ PivotChart สามารถทำได้โดยคลุมข้อมูลใน Sheet SalesTransaction แล้วเลือก Insert -&gt; PivotTable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</si>
</sst>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4" bestFit="1" customWidth="1"/>
    <col min="2" max="2" width="27.42578125" bestFit="1" customWidth="1"/>
    <col min="3" max="3" width="19.85546875" bestFit="1" customWidth="1"/>
    <col min="4" max="4" width="21" bestFit="1" customWidth="1"/>
    <col min="6" max="6" width="24.7109375" bestFit="1" customWidth="1"/>
    <col min="7" max="7" width="30" bestFit="1" customWidth="1"/>
    <col min="8" max="8" width="20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F1" s="1" t="s">
        <v>16</v>
      </c>
      <c r="G1" s="1" t="s">
        <v>17</v>
      </c>
      <c r="H1" s="1" t="s">
        <v>18</v>
      </c>
    </row>
    <row r="2" spans="1:8">
      <c r="A2" s="2" t="s">
        <v>4</v>
      </c>
      <c r="B2" s="2" t="s">
        <v>5</v>
      </c>
      <c r="C2" s="2" t="s">
        <v>6</v>
      </c>
      <c r="D2" s="3">
        <v>450</v>
      </c>
      <c r="F2" s="2" t="s">
        <v>19</v>
      </c>
      <c r="G2" s="2" t="s">
        <v>20</v>
      </c>
      <c r="H2" s="2" t="s">
        <v>21</v>
      </c>
    </row>
    <row r="3" spans="1:8">
      <c r="A3" s="2" t="s">
        <v>7</v>
      </c>
      <c r="B3" s="2" t="s">
        <v>8</v>
      </c>
      <c r="C3" s="2" t="s">
        <v>6</v>
      </c>
      <c r="D3" s="3">
        <v>1290</v>
      </c>
      <c r="F3" s="2" t="s">
        <v>22</v>
      </c>
      <c r="G3" s="2" t="s">
        <v>23</v>
      </c>
      <c r="H3" s="2" t="s">
        <v>24</v>
      </c>
    </row>
    <row r="4" spans="1:8">
      <c r="A4" s="2" t="s">
        <v>9</v>
      </c>
      <c r="B4" s="2" t="s">
        <v>10</v>
      </c>
      <c r="C4" s="2" t="s">
        <v>11</v>
      </c>
      <c r="D4" s="3">
        <v>3500</v>
      </c>
      <c r="F4" s="2" t="s">
        <v>25</v>
      </c>
      <c r="G4" s="2" t="s">
        <v>26</v>
      </c>
      <c r="H4" s="2" t="s">
        <v>21</v>
      </c>
    </row>
    <row r="5" spans="1:8">
      <c r="A5" s="2" t="s">
        <v>12</v>
      </c>
      <c r="B5" s="2" t="s">
        <v>13</v>
      </c>
      <c r="C5" s="2" t="s">
        <v>11</v>
      </c>
      <c r="D5" s="3">
        <v>2890</v>
      </c>
      <c r="F5" s="2" t="s">
        <v>27</v>
      </c>
      <c r="G5" s="2" t="s">
        <v>28</v>
      </c>
      <c r="H5" s="2" t="s">
        <v>24</v>
      </c>
    </row>
    <row r="6" spans="1:8">
      <c r="A6" s="2" t="s">
        <v>14</v>
      </c>
      <c r="B6" s="2" t="s">
        <v>15</v>
      </c>
      <c r="C6" s="2" t="s">
        <v>6</v>
      </c>
      <c r="D6" s="3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11.7109375" bestFit="1" customWidth="1"/>
    <col min="2" max="2" width="13.85546875" bestFit="1" customWidth="1"/>
    <col min="3" max="3" width="24.7109375" bestFit="1" customWidth="1"/>
    <col min="4" max="4" width="29.140625" bestFit="1" customWidth="1"/>
    <col min="5" max="5" width="24" bestFit="1" customWidth="1"/>
    <col min="6" max="6" width="27.42578125" bestFit="1" customWidth="1"/>
    <col min="7" max="7" width="25.7109375" bestFit="1" customWidth="1"/>
    <col min="8" max="8" width="16.28515625" bestFit="1" customWidth="1"/>
    <col min="9" max="9" width="19.85546875" bestFit="1" customWidth="1"/>
    <col min="10" max="10" width="17.42578125" bestFit="1" customWidth="1"/>
    <col min="11" max="11" width="20.7109375" bestFit="1" customWidth="1"/>
    <col min="12" max="12" width="20" hidden="1" bestFit="1" customWidth="1"/>
    <col min="13" max="13" width="19.85546875" hidden="1" bestFit="1" customWidth="1"/>
  </cols>
  <sheetData>
    <row r="1" spans="1:13">
      <c r="A1" s="1" t="s">
        <v>29</v>
      </c>
      <c r="B1" s="1" t="s">
        <v>30</v>
      </c>
      <c r="C1" s="1" t="s">
        <v>16</v>
      </c>
      <c r="D1" s="1" t="s">
        <v>31</v>
      </c>
      <c r="E1" s="1" t="s">
        <v>0</v>
      </c>
      <c r="F1" s="1" t="s">
        <v>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18</v>
      </c>
      <c r="M1" s="1" t="s">
        <v>2</v>
      </c>
    </row>
    <row r="2" spans="1:13">
      <c r="A2" s="2">
        <v>1</v>
      </c>
      <c r="B2" s="4">
        <v>46216</v>
      </c>
      <c r="C2" s="2" t="s">
        <v>22</v>
      </c>
      <c r="D2" s="2">
        <f>VLOOKUP(C2, MasterData!$F$2:$H$5, 2, FALSE)</f>
        <v>0</v>
      </c>
      <c r="E2" s="2" t="s">
        <v>4</v>
      </c>
      <c r="F2" s="2">
        <f>VLOOKUP(E2, MasterData!$A$2:$D$6, 2, FALSE)</f>
        <v>0</v>
      </c>
      <c r="G2" s="3">
        <f>VLOOKUP(E2, MasterData!$A$2:$D$6, 4, FALSE)</f>
        <v>0</v>
      </c>
      <c r="H2" s="2">
        <v>5</v>
      </c>
      <c r="I2" s="3">
        <f>G2*H2</f>
        <v>0</v>
      </c>
      <c r="J2" s="3">
        <f>IF(L2="VIP", I2*10%, IF(L2="Regular", I2*5%, 0))</f>
        <v>0</v>
      </c>
      <c r="K2" s="3">
        <f>I2-J2</f>
        <v>0</v>
      </c>
      <c r="L2" s="2">
        <f>VLOOKUP(C2, MasterData!$F$2:$H$5, 3, FALSE)</f>
        <v>0</v>
      </c>
      <c r="M2" s="2">
        <f>VLOOKUP(E2, MasterData!$A$2:$D$6, 3, FALSE)</f>
        <v>0</v>
      </c>
    </row>
    <row r="3" spans="1:13">
      <c r="A3" s="2">
        <v>2</v>
      </c>
      <c r="B3" s="4">
        <v>46215</v>
      </c>
      <c r="C3" s="2" t="s">
        <v>25</v>
      </c>
      <c r="D3" s="2">
        <f>VLOOKUP(C3, MasterData!$F$2:$H$5, 2, FALSE)</f>
        <v>0</v>
      </c>
      <c r="E3" s="2" t="s">
        <v>7</v>
      </c>
      <c r="F3" s="2">
        <f>VLOOKUP(E3, MasterData!$A$2:$D$6, 2, FALSE)</f>
        <v>0</v>
      </c>
      <c r="G3" s="3">
        <f>VLOOKUP(E3, MasterData!$A$2:$D$6, 4, FALSE)</f>
        <v>0</v>
      </c>
      <c r="H3" s="2">
        <v>5</v>
      </c>
      <c r="I3" s="3">
        <f>G3*H3</f>
        <v>0</v>
      </c>
      <c r="J3" s="3">
        <f>IF(L3="VIP", I3*10%, IF(L3="Regular", I3*5%, 0))</f>
        <v>0</v>
      </c>
      <c r="K3" s="3">
        <f>I3-J3</f>
        <v>0</v>
      </c>
      <c r="L3" s="2">
        <f>VLOOKUP(C3, MasterData!$F$2:$H$5, 3, FALSE)</f>
        <v>0</v>
      </c>
      <c r="M3" s="2">
        <f>VLOOKUP(E3, MasterData!$A$2:$D$6, 3, FALSE)</f>
        <v>0</v>
      </c>
    </row>
    <row r="4" spans="1:13">
      <c r="A4" s="2">
        <v>3</v>
      </c>
      <c r="B4" s="4">
        <v>46219</v>
      </c>
      <c r="C4" s="2" t="s">
        <v>19</v>
      </c>
      <c r="D4" s="2">
        <f>VLOOKUP(C4, MasterData!$F$2:$H$5, 2, FALSE)</f>
        <v>0</v>
      </c>
      <c r="E4" s="2" t="s">
        <v>7</v>
      </c>
      <c r="F4" s="2">
        <f>VLOOKUP(E4, MasterData!$A$2:$D$6, 2, FALSE)</f>
        <v>0</v>
      </c>
      <c r="G4" s="3">
        <f>VLOOKUP(E4, MasterData!$A$2:$D$6, 4, FALSE)</f>
        <v>0</v>
      </c>
      <c r="H4" s="2">
        <v>3</v>
      </c>
      <c r="I4" s="3">
        <f>G4*H4</f>
        <v>0</v>
      </c>
      <c r="J4" s="3">
        <f>IF(L4="VIP", I4*10%, IF(L4="Regular", I4*5%, 0))</f>
        <v>0</v>
      </c>
      <c r="K4" s="3">
        <f>I4-J4</f>
        <v>0</v>
      </c>
      <c r="L4" s="2">
        <f>VLOOKUP(C4, MasterData!$F$2:$H$5, 3, FALSE)</f>
        <v>0</v>
      </c>
      <c r="M4" s="2">
        <f>VLOOKUP(E4, MasterData!$A$2:$D$6, 3, FALSE)</f>
        <v>0</v>
      </c>
    </row>
    <row r="5" spans="1:13">
      <c r="A5" s="2">
        <v>4</v>
      </c>
      <c r="B5" s="4">
        <v>46206</v>
      </c>
      <c r="C5" s="2" t="s">
        <v>25</v>
      </c>
      <c r="D5" s="2">
        <f>VLOOKUP(C5, MasterData!$F$2:$H$5, 2, FALSE)</f>
        <v>0</v>
      </c>
      <c r="E5" s="2" t="s">
        <v>14</v>
      </c>
      <c r="F5" s="2">
        <f>VLOOKUP(E5, MasterData!$A$2:$D$6, 2, FALSE)</f>
        <v>0</v>
      </c>
      <c r="G5" s="3">
        <f>VLOOKUP(E5, MasterData!$A$2:$D$6, 4, FALSE)</f>
        <v>0</v>
      </c>
      <c r="H5" s="2">
        <v>5</v>
      </c>
      <c r="I5" s="3">
        <f>G5*H5</f>
        <v>0</v>
      </c>
      <c r="J5" s="3">
        <f>IF(L5="VIP", I5*10%, IF(L5="Regular", I5*5%, 0))</f>
        <v>0</v>
      </c>
      <c r="K5" s="3">
        <f>I5-J5</f>
        <v>0</v>
      </c>
      <c r="L5" s="2">
        <f>VLOOKUP(C5, MasterData!$F$2:$H$5, 3, FALSE)</f>
        <v>0</v>
      </c>
      <c r="M5" s="2">
        <f>VLOOKUP(E5, MasterData!$A$2:$D$6, 3, FALSE)</f>
        <v>0</v>
      </c>
    </row>
    <row r="6" spans="1:13">
      <c r="A6" s="2">
        <v>5</v>
      </c>
      <c r="B6" s="4">
        <v>46207</v>
      </c>
      <c r="C6" s="2" t="s">
        <v>19</v>
      </c>
      <c r="D6" s="2">
        <f>VLOOKUP(C6, MasterData!$F$2:$H$5, 2, FALSE)</f>
        <v>0</v>
      </c>
      <c r="E6" s="2" t="s">
        <v>9</v>
      </c>
      <c r="F6" s="2">
        <f>VLOOKUP(E6, MasterData!$A$2:$D$6, 2, FALSE)</f>
        <v>0</v>
      </c>
      <c r="G6" s="3">
        <f>VLOOKUP(E6, MasterData!$A$2:$D$6, 4, FALSE)</f>
        <v>0</v>
      </c>
      <c r="H6" s="2">
        <v>4</v>
      </c>
      <c r="I6" s="3">
        <f>G6*H6</f>
        <v>0</v>
      </c>
      <c r="J6" s="3">
        <f>IF(L6="VIP", I6*10%, IF(L6="Regular", I6*5%, 0))</f>
        <v>0</v>
      </c>
      <c r="K6" s="3">
        <f>I6-J6</f>
        <v>0</v>
      </c>
      <c r="L6" s="2">
        <f>VLOOKUP(C6, MasterData!$F$2:$H$5, 3, FALSE)</f>
        <v>0</v>
      </c>
      <c r="M6" s="2">
        <f>VLOOKUP(E6, MasterData!$A$2:$D$6, 3, FALSE)</f>
        <v>0</v>
      </c>
    </row>
    <row r="7" spans="1:13">
      <c r="A7" s="2">
        <v>6</v>
      </c>
      <c r="B7" s="4">
        <v>46217</v>
      </c>
      <c r="C7" s="2" t="s">
        <v>19</v>
      </c>
      <c r="D7" s="2">
        <f>VLOOKUP(C7, MasterData!$F$2:$H$5, 2, FALSE)</f>
        <v>0</v>
      </c>
      <c r="E7" s="2" t="s">
        <v>14</v>
      </c>
      <c r="F7" s="2">
        <f>VLOOKUP(E7, MasterData!$A$2:$D$6, 2, FALSE)</f>
        <v>0</v>
      </c>
      <c r="G7" s="3">
        <f>VLOOKUP(E7, MasterData!$A$2:$D$6, 4, FALSE)</f>
        <v>0</v>
      </c>
      <c r="H7" s="2">
        <v>2</v>
      </c>
      <c r="I7" s="3">
        <f>G7*H7</f>
        <v>0</v>
      </c>
      <c r="J7" s="3">
        <f>IF(L7="VIP", I7*10%, IF(L7="Regular", I7*5%, 0))</f>
        <v>0</v>
      </c>
      <c r="K7" s="3">
        <f>I7-J7</f>
        <v>0</v>
      </c>
      <c r="L7" s="2">
        <f>VLOOKUP(C7, MasterData!$F$2:$H$5, 3, FALSE)</f>
        <v>0</v>
      </c>
      <c r="M7" s="2">
        <f>VLOOKUP(E7, MasterData!$A$2:$D$6, 3, FALSE)</f>
        <v>0</v>
      </c>
    </row>
    <row r="8" spans="1:13">
      <c r="A8" s="2">
        <v>7</v>
      </c>
      <c r="B8" s="4">
        <v>46210</v>
      </c>
      <c r="C8" s="2" t="s">
        <v>25</v>
      </c>
      <c r="D8" s="2">
        <f>VLOOKUP(C8, MasterData!$F$2:$H$5, 2, FALSE)</f>
        <v>0</v>
      </c>
      <c r="E8" s="2" t="s">
        <v>9</v>
      </c>
      <c r="F8" s="2">
        <f>VLOOKUP(E8, MasterData!$A$2:$D$6, 2, FALSE)</f>
        <v>0</v>
      </c>
      <c r="G8" s="3">
        <f>VLOOKUP(E8, MasterData!$A$2:$D$6, 4, FALSE)</f>
        <v>0</v>
      </c>
      <c r="H8" s="2">
        <v>2</v>
      </c>
      <c r="I8" s="3">
        <f>G8*H8</f>
        <v>0</v>
      </c>
      <c r="J8" s="3">
        <f>IF(L8="VIP", I8*10%, IF(L8="Regular", I8*5%, 0))</f>
        <v>0</v>
      </c>
      <c r="K8" s="3">
        <f>I8-J8</f>
        <v>0</v>
      </c>
      <c r="L8" s="2">
        <f>VLOOKUP(C8, MasterData!$F$2:$H$5, 3, FALSE)</f>
        <v>0</v>
      </c>
      <c r="M8" s="2">
        <f>VLOOKUP(E8, MasterData!$A$2:$D$6, 3, FALSE)</f>
        <v>0</v>
      </c>
    </row>
    <row r="9" spans="1:13">
      <c r="A9" s="2">
        <v>8</v>
      </c>
      <c r="B9" s="4">
        <v>46209</v>
      </c>
      <c r="C9" s="2" t="s">
        <v>27</v>
      </c>
      <c r="D9" s="2">
        <f>VLOOKUP(C9, MasterData!$F$2:$H$5, 2, FALSE)</f>
        <v>0</v>
      </c>
      <c r="E9" s="2" t="s">
        <v>9</v>
      </c>
      <c r="F9" s="2">
        <f>VLOOKUP(E9, MasterData!$A$2:$D$6, 2, FALSE)</f>
        <v>0</v>
      </c>
      <c r="G9" s="3">
        <f>VLOOKUP(E9, MasterData!$A$2:$D$6, 4, FALSE)</f>
        <v>0</v>
      </c>
      <c r="H9" s="2">
        <v>2</v>
      </c>
      <c r="I9" s="3">
        <f>G9*H9</f>
        <v>0</v>
      </c>
      <c r="J9" s="3">
        <f>IF(L9="VIP", I9*10%, IF(L9="Regular", I9*5%, 0))</f>
        <v>0</v>
      </c>
      <c r="K9" s="3">
        <f>I9-J9</f>
        <v>0</v>
      </c>
      <c r="L9" s="2">
        <f>VLOOKUP(C9, MasterData!$F$2:$H$5, 3, FALSE)</f>
        <v>0</v>
      </c>
      <c r="M9" s="2">
        <f>VLOOKUP(E9, MasterData!$A$2:$D$6, 3, FALSE)</f>
        <v>0</v>
      </c>
    </row>
    <row r="10" spans="1:13">
      <c r="A10" s="2">
        <v>9</v>
      </c>
      <c r="B10" s="4">
        <v>46212</v>
      </c>
      <c r="C10" s="2" t="s">
        <v>19</v>
      </c>
      <c r="D10" s="2">
        <f>VLOOKUP(C10, MasterData!$F$2:$H$5, 2, FALSE)</f>
        <v>0</v>
      </c>
      <c r="E10" s="2" t="s">
        <v>4</v>
      </c>
      <c r="F10" s="2">
        <f>VLOOKUP(E10, MasterData!$A$2:$D$6, 2, FALSE)</f>
        <v>0</v>
      </c>
      <c r="G10" s="3">
        <f>VLOOKUP(E10, MasterData!$A$2:$D$6, 4, FALSE)</f>
        <v>0</v>
      </c>
      <c r="H10" s="2">
        <v>5</v>
      </c>
      <c r="I10" s="3">
        <f>G10*H10</f>
        <v>0</v>
      </c>
      <c r="J10" s="3">
        <f>IF(L10="VIP", I10*10%, IF(L10="Regular", I10*5%, 0))</f>
        <v>0</v>
      </c>
      <c r="K10" s="3">
        <f>I10-J10</f>
        <v>0</v>
      </c>
      <c r="L10" s="2">
        <f>VLOOKUP(C10, MasterData!$F$2:$H$5, 3, FALSE)</f>
        <v>0</v>
      </c>
      <c r="M10" s="2">
        <f>VLOOKUP(E10, MasterData!$A$2:$D$6, 3, FALSE)</f>
        <v>0</v>
      </c>
    </row>
    <row r="11" spans="1:13">
      <c r="A11" s="2">
        <v>10</v>
      </c>
      <c r="B11" s="4">
        <v>46215</v>
      </c>
      <c r="C11" s="2" t="s">
        <v>25</v>
      </c>
      <c r="D11" s="2">
        <f>VLOOKUP(C11, MasterData!$F$2:$H$5, 2, FALSE)</f>
        <v>0</v>
      </c>
      <c r="E11" s="2" t="s">
        <v>9</v>
      </c>
      <c r="F11" s="2">
        <f>VLOOKUP(E11, MasterData!$A$2:$D$6, 2, FALSE)</f>
        <v>0</v>
      </c>
      <c r="G11" s="3">
        <f>VLOOKUP(E11, MasterData!$A$2:$D$6, 4, FALSE)</f>
        <v>0</v>
      </c>
      <c r="H11" s="2">
        <v>2</v>
      </c>
      <c r="I11" s="3">
        <f>G11*H11</f>
        <v>0</v>
      </c>
      <c r="J11" s="3">
        <f>IF(L11="VIP", I11*10%, IF(L11="Regular", I11*5%, 0))</f>
        <v>0</v>
      </c>
      <c r="K11" s="3">
        <f>I11-J11</f>
        <v>0</v>
      </c>
      <c r="L11" s="2">
        <f>VLOOKUP(C11, MasterData!$F$2:$H$5, 3, FALSE)</f>
        <v>0</v>
      </c>
      <c r="M11" s="2">
        <f>VLOOKUP(E11, MasterData!$A$2:$D$6, 3, FALSE)</f>
        <v>0</v>
      </c>
    </row>
    <row r="12" spans="1:13">
      <c r="A12" s="2">
        <v>11</v>
      </c>
      <c r="B12" s="4">
        <v>46213</v>
      </c>
      <c r="C12" s="2" t="s">
        <v>19</v>
      </c>
      <c r="D12" s="2">
        <f>VLOOKUP(C12, MasterData!$F$2:$H$5, 2, FALSE)</f>
        <v>0</v>
      </c>
      <c r="E12" s="2" t="s">
        <v>14</v>
      </c>
      <c r="F12" s="2">
        <f>VLOOKUP(E12, MasterData!$A$2:$D$6, 2, FALSE)</f>
        <v>0</v>
      </c>
      <c r="G12" s="3">
        <f>VLOOKUP(E12, MasterData!$A$2:$D$6, 4, FALSE)</f>
        <v>0</v>
      </c>
      <c r="H12" s="2">
        <v>3</v>
      </c>
      <c r="I12" s="3">
        <f>G12*H12</f>
        <v>0</v>
      </c>
      <c r="J12" s="3">
        <f>IF(L12="VIP", I12*10%, IF(L12="Regular", I12*5%, 0))</f>
        <v>0</v>
      </c>
      <c r="K12" s="3">
        <f>I12-J12</f>
        <v>0</v>
      </c>
      <c r="L12" s="2">
        <f>VLOOKUP(C12, MasterData!$F$2:$H$5, 3, FALSE)</f>
        <v>0</v>
      </c>
      <c r="M12" s="2">
        <f>VLOOKUP(E12, MasterData!$A$2:$D$6, 3, FALSE)</f>
        <v>0</v>
      </c>
    </row>
    <row r="13" spans="1:13">
      <c r="A13" s="2">
        <v>12</v>
      </c>
      <c r="B13" s="4">
        <v>46206</v>
      </c>
      <c r="C13" s="2" t="s">
        <v>22</v>
      </c>
      <c r="D13" s="2">
        <f>VLOOKUP(C13, MasterData!$F$2:$H$5, 2, FALSE)</f>
        <v>0</v>
      </c>
      <c r="E13" s="2" t="s">
        <v>4</v>
      </c>
      <c r="F13" s="2">
        <f>VLOOKUP(E13, MasterData!$A$2:$D$6, 2, FALSE)</f>
        <v>0</v>
      </c>
      <c r="G13" s="3">
        <f>VLOOKUP(E13, MasterData!$A$2:$D$6, 4, FALSE)</f>
        <v>0</v>
      </c>
      <c r="H13" s="2">
        <v>4</v>
      </c>
      <c r="I13" s="3">
        <f>G13*H13</f>
        <v>0</v>
      </c>
      <c r="J13" s="3">
        <f>IF(L13="VIP", I13*10%, IF(L13="Regular", I13*5%, 0))</f>
        <v>0</v>
      </c>
      <c r="K13" s="3">
        <f>I13-J13</f>
        <v>0</v>
      </c>
      <c r="L13" s="2">
        <f>VLOOKUP(C13, MasterData!$F$2:$H$5, 3, FALSE)</f>
        <v>0</v>
      </c>
      <c r="M13" s="2">
        <f>VLOOKUP(E13, MasterData!$A$2:$D$6, 3, FALSE)</f>
        <v>0</v>
      </c>
    </row>
    <row r="14" spans="1:13">
      <c r="A14" s="2">
        <v>13</v>
      </c>
      <c r="B14" s="4">
        <v>46208</v>
      </c>
      <c r="C14" s="2" t="s">
        <v>25</v>
      </c>
      <c r="D14" s="2">
        <f>VLOOKUP(C14, MasterData!$F$2:$H$5, 2, FALSE)</f>
        <v>0</v>
      </c>
      <c r="E14" s="2" t="s">
        <v>7</v>
      </c>
      <c r="F14" s="2">
        <f>VLOOKUP(E14, MasterData!$A$2:$D$6, 2, FALSE)</f>
        <v>0</v>
      </c>
      <c r="G14" s="3">
        <f>VLOOKUP(E14, MasterData!$A$2:$D$6, 4, FALSE)</f>
        <v>0</v>
      </c>
      <c r="H14" s="2">
        <v>2</v>
      </c>
      <c r="I14" s="3">
        <f>G14*H14</f>
        <v>0</v>
      </c>
      <c r="J14" s="3">
        <f>IF(L14="VIP", I14*10%, IF(L14="Regular", I14*5%, 0))</f>
        <v>0</v>
      </c>
      <c r="K14" s="3">
        <f>I14-J14</f>
        <v>0</v>
      </c>
      <c r="L14" s="2">
        <f>VLOOKUP(C14, MasterData!$F$2:$H$5, 3, FALSE)</f>
        <v>0</v>
      </c>
      <c r="M14" s="2">
        <f>VLOOKUP(E14, MasterData!$A$2:$D$6, 3, FALSE)</f>
        <v>0</v>
      </c>
    </row>
    <row r="15" spans="1:13">
      <c r="A15" s="2">
        <v>14</v>
      </c>
      <c r="B15" s="4">
        <v>46218</v>
      </c>
      <c r="C15" s="2" t="s">
        <v>22</v>
      </c>
      <c r="D15" s="2">
        <f>VLOOKUP(C15, MasterData!$F$2:$H$5, 2, FALSE)</f>
        <v>0</v>
      </c>
      <c r="E15" s="2" t="s">
        <v>7</v>
      </c>
      <c r="F15" s="2">
        <f>VLOOKUP(E15, MasterData!$A$2:$D$6, 2, FALSE)</f>
        <v>0</v>
      </c>
      <c r="G15" s="3">
        <f>VLOOKUP(E15, MasterData!$A$2:$D$6, 4, FALSE)</f>
        <v>0</v>
      </c>
      <c r="H15" s="2">
        <v>1</v>
      </c>
      <c r="I15" s="3">
        <f>G15*H15</f>
        <v>0</v>
      </c>
      <c r="J15" s="3">
        <f>IF(L15="VIP", I15*10%, IF(L15="Regular", I15*5%, 0))</f>
        <v>0</v>
      </c>
      <c r="K15" s="3">
        <f>I15-J15</f>
        <v>0</v>
      </c>
      <c r="L15" s="2">
        <f>VLOOKUP(C15, MasterData!$F$2:$H$5, 3, FALSE)</f>
        <v>0</v>
      </c>
      <c r="M15" s="2">
        <f>VLOOKUP(E15, MasterData!$A$2:$D$6, 3, FALSE)</f>
        <v>0</v>
      </c>
    </row>
    <row r="16" spans="1:13">
      <c r="A16" s="2">
        <v>15</v>
      </c>
      <c r="B16" s="4">
        <v>46215</v>
      </c>
      <c r="C16" s="2" t="s">
        <v>27</v>
      </c>
      <c r="D16" s="2">
        <f>VLOOKUP(C16, MasterData!$F$2:$H$5, 2, FALSE)</f>
        <v>0</v>
      </c>
      <c r="E16" s="2" t="s">
        <v>7</v>
      </c>
      <c r="F16" s="2">
        <f>VLOOKUP(E16, MasterData!$A$2:$D$6, 2, FALSE)</f>
        <v>0</v>
      </c>
      <c r="G16" s="3">
        <f>VLOOKUP(E16, MasterData!$A$2:$D$6, 4, FALSE)</f>
        <v>0</v>
      </c>
      <c r="H16" s="2">
        <v>3</v>
      </c>
      <c r="I16" s="3">
        <f>G16*H16</f>
        <v>0</v>
      </c>
      <c r="J16" s="3">
        <f>IF(L16="VIP", I16*10%, IF(L16="Regular", I16*5%, 0))</f>
        <v>0</v>
      </c>
      <c r="K16" s="3">
        <f>I16-J16</f>
        <v>0</v>
      </c>
      <c r="L16" s="2">
        <f>VLOOKUP(C16, MasterData!$F$2:$H$5, 3, FALSE)</f>
        <v>0</v>
      </c>
      <c r="M16" s="2">
        <f>VLOOKUP(E16, MasterData!$A$2:$D$6, 3, FALSE)</f>
        <v>0</v>
      </c>
    </row>
  </sheetData>
  <conditionalFormatting sqref="K2:K16">
    <cfRule type="cellIs" dxfId="0" priority="1" operator="greaterThan">
      <formula>5000</formula>
    </cfRule>
  </conditionalFormatting>
  <dataValidations count="2">
    <dataValidation type="list" allowBlank="1" showInputMessage="1" showErrorMessage="1" sqref="C2:C16">
      <formula1>MasterData!$F$2:$F$5</formula1>
    </dataValidation>
    <dataValidation type="list" allowBlank="1" showInputMessage="1" showErrorMessage="1" sqref="E2:E16">
      <formula1>MasterData!$A$2:$A$6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2.85546875" bestFit="1" customWidth="1"/>
    <col min="2" max="2" width="20.7109375" bestFit="1" customWidth="1"/>
  </cols>
  <sheetData>
    <row r="1" spans="1:2">
      <c r="A1" s="5" t="s">
        <v>37</v>
      </c>
    </row>
    <row r="3" spans="1:2">
      <c r="A3" s="1" t="s">
        <v>38</v>
      </c>
      <c r="B3" s="1" t="s">
        <v>36</v>
      </c>
    </row>
    <row r="4" spans="1:2">
      <c r="A4" s="2" t="s">
        <v>6</v>
      </c>
      <c r="B4" s="3">
        <f>SUMIF(SalesTransaction!$M$2:$M$16, A4, SalesTransaction!$K$2:$K$16)</f>
        <v>0</v>
      </c>
    </row>
    <row r="5" spans="1:2">
      <c r="A5" s="2" t="s">
        <v>11</v>
      </c>
      <c r="B5" s="3">
        <f>SUMIF(SalesTransaction!$M$2:$M$16, A5, SalesTransaction!$K$2:$K$16)</f>
        <v>0</v>
      </c>
    </row>
    <row r="7" spans="1:2">
      <c r="A7" s="1" t="s">
        <v>39</v>
      </c>
      <c r="B7" s="1" t="s">
        <v>40</v>
      </c>
    </row>
    <row r="8" spans="1:2">
      <c r="A8" s="2" t="s">
        <v>21</v>
      </c>
      <c r="B8" s="2">
        <f>COUNTIF(SalesTransaction!$L$2:$L$16, A8)</f>
        <v>0</v>
      </c>
    </row>
    <row r="9" spans="1:2">
      <c r="A9" s="2" t="s">
        <v>24</v>
      </c>
      <c r="B9" s="2">
        <f>COUNTIF(SalesTransaction!$L$2:$L$16, A9)</f>
        <v>0</v>
      </c>
    </row>
    <row r="11" spans="1:2">
      <c r="A11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SalesTransaction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2026-07-06T01:10:36Z</dcterms:created>
  <dcterms:modified xsi:type="dcterms:W3CDTF">2026-07-06T01:10:36Z</dcterms:modified>
</cp:coreProperties>
</file>